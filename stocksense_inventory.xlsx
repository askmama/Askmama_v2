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Transaction Log" sheetId="2" state="visible" r:id="rId2"/>
    <sheet name="Summary" sheetId="3" state="visible" r:id="rId3"/>
    <sheet name="API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B4332"/>
      <sz val="10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b val="1"/>
      <color rgb="00FFFFFF"/>
      <sz val="13"/>
    </font>
    <font>
      <name val="Arial"/>
      <b val="1"/>
      <color rgb="00555555"/>
      <sz val="9"/>
    </font>
    <font>
      <name val="Arial"/>
      <b val="1"/>
      <color rgb="001B4332"/>
      <sz val="22"/>
    </font>
    <font>
      <name val="Arial"/>
      <b val="1"/>
      <color rgb="00FFFFFF"/>
      <sz val="11"/>
    </font>
    <font>
      <name val="Arial"/>
      <i val="1"/>
      <color rgb="001A6F9A"/>
      <sz val="10"/>
    </font>
    <font>
      <name val="Courier New"/>
      <color rgb="001A1A2E"/>
      <sz val="9"/>
    </font>
  </fonts>
  <fills count="1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0F4F0"/>
      </patternFill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FE8E8"/>
      </patternFill>
    </fill>
    <fill>
      <patternFill patternType="solid">
        <fgColor rgb="00E8FFE8"/>
      </patternFill>
    </fill>
    <fill>
      <patternFill patternType="solid">
        <fgColor rgb="00D8F3DC"/>
      </patternFill>
    </fill>
    <fill>
      <patternFill patternType="solid">
        <fgColor rgb="00B7E4C7"/>
      </patternFill>
    </fill>
    <fill>
      <patternFill patternType="solid">
        <fgColor rgb="00E8F4FD"/>
      </patternFill>
    </fill>
    <fill>
      <patternFill patternType="solid">
        <fgColor rgb="00EDE7F6"/>
      </patternFill>
    </fill>
    <fill>
      <patternFill patternType="solid">
        <fgColor rgb="0052B788"/>
      </patternFill>
    </fill>
    <fill>
      <patternFill patternType="solid">
        <fgColor rgb="00F8FAF8"/>
      </patternFill>
    </fill>
    <fill>
      <patternFill patternType="solid">
        <fgColor rgb="00F0F8F0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2D6A4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4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vertical="center"/>
    </xf>
    <xf numFmtId="0" fontId="4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9" fillId="2" borderId="0" applyAlignment="1" pivotButton="0" quotePrefix="0" xfId="0">
      <alignment horizontal="center" vertical="center"/>
    </xf>
    <xf numFmtId="0" fontId="4" fillId="8" borderId="2" applyAlignment="1" pivotButton="0" quotePrefix="0" xfId="0">
      <alignment vertical="center"/>
    </xf>
    <xf numFmtId="0" fontId="8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vertical="center"/>
    </xf>
    <xf numFmtId="0" fontId="6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5" borderId="2" applyAlignment="1" pivotButton="0" quotePrefix="0" xfId="0">
      <alignment horizontal="left" vertical="center"/>
    </xf>
    <xf numFmtId="0" fontId="4" fillId="15" borderId="2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/>
    </xf>
    <xf numFmtId="0" fontId="3" fillId="4" borderId="2" applyAlignment="1" pivotButton="0" quotePrefix="0" xfId="0">
      <alignment horizontal="center" vertical="center"/>
    </xf>
    <xf numFmtId="0" fontId="14" fillId="16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3" customWidth="1" min="4" max="4"/>
    <col width="11" customWidth="1" min="5" max="5"/>
    <col width="11" customWidth="1" min="6" max="6"/>
    <col width="10" customWidth="1" min="7" max="7"/>
    <col width="14" customWidth="1" min="8" max="8"/>
    <col width="18" customWidth="1" min="9" max="9"/>
    <col width="30" customWidth="1" min="10" max="10"/>
  </cols>
  <sheetData>
    <row r="1" ht="32" customHeight="1">
      <c r="A1" s="1" t="inlineStr">
        <is>
          <t>STOCKSENSE S1 — INVENTORY TRACKER</t>
        </is>
      </c>
    </row>
    <row r="2" ht="18" customHeight="1">
      <c r="A2" s="2" t="inlineStr">
        <is>
          <t>Mock Inventory · Salon / Clinic Business</t>
        </is>
      </c>
    </row>
    <row r="3" ht="22" customHeight="1">
      <c r="A3" s="3" t="inlineStr">
        <is>
          <t>Item ID</t>
        </is>
      </c>
      <c r="B3" s="3" t="inlineStr">
        <is>
          <t>Item Name</t>
        </is>
      </c>
      <c r="C3" s="3" t="inlineStr">
        <is>
          <t>Category</t>
        </is>
      </c>
      <c r="D3" s="3" t="inlineStr">
        <is>
          <t>Current Qty</t>
        </is>
      </c>
      <c r="E3" s="3" t="inlineStr">
        <is>
          <t>Min Stock</t>
        </is>
      </c>
      <c r="F3" s="3" t="inlineStr">
        <is>
          <t>Max Stock</t>
        </is>
      </c>
      <c r="G3" s="3" t="inlineStr">
        <is>
          <t>Unit</t>
        </is>
      </c>
      <c r="H3" s="3" t="inlineStr">
        <is>
          <t>Status</t>
        </is>
      </c>
      <c r="I3" s="3" t="inlineStr">
        <is>
          <t>Last Updated</t>
        </is>
      </c>
      <c r="J3" s="3" t="inlineStr">
        <is>
          <t>Notes</t>
        </is>
      </c>
    </row>
    <row r="4" ht="18" customHeight="1">
      <c r="A4" s="4" t="inlineStr">
        <is>
          <t>S001</t>
        </is>
      </c>
      <c r="B4" s="4" t="inlineStr">
        <is>
          <t>Bleach Powder</t>
        </is>
      </c>
      <c r="C4" s="4" t="inlineStr">
        <is>
          <t>Salon</t>
        </is>
      </c>
      <c r="D4" s="5" t="n">
        <v>16</v>
      </c>
      <c r="E4" s="5" t="n">
        <v>3</v>
      </c>
      <c r="F4" s="5" t="n">
        <v>20</v>
      </c>
      <c r="G4" s="4" t="inlineStr">
        <is>
          <t>kg</t>
        </is>
      </c>
      <c r="H4" s="6" t="inlineStr">
        <is>
          <t>OK</t>
        </is>
      </c>
      <c r="I4" s="4" t="inlineStr">
        <is>
          <t>26 Mar 2026</t>
        </is>
      </c>
      <c r="J4" s="4" t="inlineStr"/>
    </row>
    <row r="5" ht="18" customHeight="1">
      <c r="A5" s="7" t="inlineStr">
        <is>
          <t>S002</t>
        </is>
      </c>
      <c r="B5" s="7" t="inlineStr">
        <is>
          <t>Developer 20vol</t>
        </is>
      </c>
      <c r="C5" s="7" t="inlineStr">
        <is>
          <t>Salon</t>
        </is>
      </c>
      <c r="D5" s="8" t="n">
        <v>0</v>
      </c>
      <c r="E5" s="8" t="n">
        <v>5</v>
      </c>
      <c r="F5" s="8" t="n">
        <v>30</v>
      </c>
      <c r="G5" s="7" t="inlineStr">
        <is>
          <t>bottle</t>
        </is>
      </c>
      <c r="H5" s="9" t="inlineStr">
        <is>
          <t>MISSING</t>
        </is>
      </c>
      <c r="I5" s="7" t="inlineStr">
        <is>
          <t>26 Mar 2026</t>
        </is>
      </c>
      <c r="J5" s="7" t="inlineStr">
        <is>
          <t>Order from Wella supplier</t>
        </is>
      </c>
    </row>
    <row r="6" ht="18" customHeight="1">
      <c r="A6" s="7" t="inlineStr">
        <is>
          <t>S003</t>
        </is>
      </c>
      <c r="B6" s="7" t="inlineStr">
        <is>
          <t>Developer 30vol</t>
        </is>
      </c>
      <c r="C6" s="7" t="inlineStr">
        <is>
          <t>Salon</t>
        </is>
      </c>
      <c r="D6" s="8" t="n">
        <v>1</v>
      </c>
      <c r="E6" s="8" t="n">
        <v>5</v>
      </c>
      <c r="F6" s="8" t="n">
        <v>30</v>
      </c>
      <c r="G6" s="7" t="inlineStr">
        <is>
          <t>bottle</t>
        </is>
      </c>
      <c r="H6" s="9" t="inlineStr">
        <is>
          <t>LOW STOCK</t>
        </is>
      </c>
      <c r="I6" s="7" t="inlineStr">
        <is>
          <t>26 Mar 2026</t>
        </is>
      </c>
      <c r="J6" s="7" t="inlineStr">
        <is>
          <t>Order from Wella supplier</t>
        </is>
      </c>
    </row>
    <row r="7" ht="18" customHeight="1">
      <c r="A7" s="10" t="inlineStr">
        <is>
          <t>S004</t>
        </is>
      </c>
      <c r="B7" s="10" t="inlineStr">
        <is>
          <t>Hair Colour #4N</t>
        </is>
      </c>
      <c r="C7" s="10" t="inlineStr">
        <is>
          <t>Salon</t>
        </is>
      </c>
      <c r="D7" s="11" t="n">
        <v>0</v>
      </c>
      <c r="E7" s="11" t="n">
        <v>4</v>
      </c>
      <c r="F7" s="11" t="n">
        <v>24</v>
      </c>
      <c r="G7" s="10" t="inlineStr">
        <is>
          <t>tube</t>
        </is>
      </c>
      <c r="H7" s="12" t="inlineStr">
        <is>
          <t>MISSING</t>
        </is>
      </c>
      <c r="I7" s="10" t="inlineStr">
        <is>
          <t>26 Mar 2026</t>
        </is>
      </c>
      <c r="J7" s="10" t="inlineStr">
        <is>
          <t>Discontinued — find alternative</t>
        </is>
      </c>
    </row>
    <row r="8" ht="18" customHeight="1">
      <c r="A8" s="7" t="inlineStr">
        <is>
          <t>S005</t>
        </is>
      </c>
      <c r="B8" s="7" t="inlineStr">
        <is>
          <t>Hair Colour #6N</t>
        </is>
      </c>
      <c r="C8" s="7" t="inlineStr">
        <is>
          <t>Salon</t>
        </is>
      </c>
      <c r="D8" s="8" t="n">
        <v>3</v>
      </c>
      <c r="E8" s="8" t="n">
        <v>4</v>
      </c>
      <c r="F8" s="8" t="n">
        <v>24</v>
      </c>
      <c r="G8" s="7" t="inlineStr">
        <is>
          <t>tube</t>
        </is>
      </c>
      <c r="H8" s="9" t="inlineStr">
        <is>
          <t>LOW STOCK</t>
        </is>
      </c>
      <c r="I8" s="7" t="inlineStr">
        <is>
          <t>26 Mar 2026</t>
        </is>
      </c>
      <c r="J8" s="7" t="inlineStr"/>
    </row>
    <row r="9" ht="18" customHeight="1">
      <c r="A9" s="4" t="inlineStr">
        <is>
          <t>S006</t>
        </is>
      </c>
      <c r="B9" s="4" t="inlineStr">
        <is>
          <t>Toning Shampoo</t>
        </is>
      </c>
      <c r="C9" s="4" t="inlineStr">
        <is>
          <t>Salon</t>
        </is>
      </c>
      <c r="D9" s="5" t="n">
        <v>8</v>
      </c>
      <c r="E9" s="5" t="n">
        <v>3</v>
      </c>
      <c r="F9" s="5" t="n">
        <v>12</v>
      </c>
      <c r="G9" s="4" t="inlineStr">
        <is>
          <t>bottle</t>
        </is>
      </c>
      <c r="H9" s="6" t="inlineStr">
        <is>
          <t>OK</t>
        </is>
      </c>
      <c r="I9" s="4" t="inlineStr">
        <is>
          <t>26 Mar 2026</t>
        </is>
      </c>
      <c r="J9" s="4" t="inlineStr"/>
    </row>
    <row r="10" ht="18" customHeight="1">
      <c r="A10" s="4" t="inlineStr">
        <is>
          <t>S007</t>
        </is>
      </c>
      <c r="B10" s="4" t="inlineStr">
        <is>
          <t>Conditioner Bulk</t>
        </is>
      </c>
      <c r="C10" s="4" t="inlineStr">
        <is>
          <t>Salon</t>
        </is>
      </c>
      <c r="D10" s="5" t="n">
        <v>4</v>
      </c>
      <c r="E10" s="5" t="n">
        <v>2</v>
      </c>
      <c r="F10" s="5" t="n">
        <v>10</v>
      </c>
      <c r="G10" s="4" t="inlineStr">
        <is>
          <t>litre</t>
        </is>
      </c>
      <c r="H10" s="6" t="inlineStr">
        <is>
          <t>OK</t>
        </is>
      </c>
      <c r="I10" s="4" t="inlineStr">
        <is>
          <t>26 Mar 2026</t>
        </is>
      </c>
      <c r="J10" s="4" t="inlineStr"/>
    </row>
    <row r="11" ht="18" customHeight="1">
      <c r="A11" s="7" t="inlineStr">
        <is>
          <t>S008</t>
        </is>
      </c>
      <c r="B11" s="7" t="inlineStr">
        <is>
          <t>Foil Sheets</t>
        </is>
      </c>
      <c r="C11" s="7" t="inlineStr">
        <is>
          <t>Salon</t>
        </is>
      </c>
      <c r="D11" s="8" t="n">
        <v>0</v>
      </c>
      <c r="E11" s="8" t="n">
        <v>5</v>
      </c>
      <c r="F11" s="8" t="n">
        <v>20</v>
      </c>
      <c r="G11" s="7" t="inlineStr">
        <is>
          <t>pack</t>
        </is>
      </c>
      <c r="H11" s="9" t="inlineStr">
        <is>
          <t>MISSING</t>
        </is>
      </c>
      <c r="I11" s="7" t="inlineStr">
        <is>
          <t>26 Mar 2026</t>
        </is>
      </c>
      <c r="J11" s="7" t="inlineStr">
        <is>
          <t>Check if wide or standard</t>
        </is>
      </c>
    </row>
    <row r="12" ht="18" customHeight="1">
      <c r="A12" s="4" t="inlineStr">
        <is>
          <t>C001</t>
        </is>
      </c>
      <c r="B12" s="4" t="inlineStr">
        <is>
          <t>Disinfectant Spray</t>
        </is>
      </c>
      <c r="C12" s="4" t="inlineStr">
        <is>
          <t>Cleaning</t>
        </is>
      </c>
      <c r="D12" s="5" t="n">
        <v>5</v>
      </c>
      <c r="E12" s="5" t="n">
        <v>3</v>
      </c>
      <c r="F12" s="5" t="n">
        <v>15</v>
      </c>
      <c r="G12" s="4" t="inlineStr">
        <is>
          <t>bottle</t>
        </is>
      </c>
      <c r="H12" s="6" t="inlineStr">
        <is>
          <t>OK</t>
        </is>
      </c>
      <c r="I12" s="4" t="inlineStr">
        <is>
          <t>26 Mar 2026</t>
        </is>
      </c>
      <c r="J12" s="4" t="inlineStr"/>
    </row>
    <row r="13" ht="18" customHeight="1">
      <c r="A13" s="7" t="inlineStr">
        <is>
          <t>C002</t>
        </is>
      </c>
      <c r="B13" s="7" t="inlineStr">
        <is>
          <t>Latex Gloves (M)</t>
        </is>
      </c>
      <c r="C13" s="7" t="inlineStr">
        <is>
          <t>Cleaning</t>
        </is>
      </c>
      <c r="D13" s="8" t="n">
        <v>2</v>
      </c>
      <c r="E13" s="8" t="n">
        <v>4</v>
      </c>
      <c r="F13" s="8" t="n">
        <v>20</v>
      </c>
      <c r="G13" s="7" t="inlineStr">
        <is>
          <t>box</t>
        </is>
      </c>
      <c r="H13" s="9" t="inlineStr">
        <is>
          <t>LOW STOCK</t>
        </is>
      </c>
      <c r="I13" s="7" t="inlineStr">
        <is>
          <t>26 Mar 2026</t>
        </is>
      </c>
      <c r="J13" s="7" t="inlineStr">
        <is>
          <t>Medium preferred by staff</t>
        </is>
      </c>
    </row>
    <row r="14" ht="18" customHeight="1">
      <c r="A14" s="10" t="inlineStr">
        <is>
          <t>C003</t>
        </is>
      </c>
      <c r="B14" s="10" t="inlineStr">
        <is>
          <t>Latex Gloves (L)</t>
        </is>
      </c>
      <c r="C14" s="10" t="inlineStr">
        <is>
          <t>Cleaning</t>
        </is>
      </c>
      <c r="D14" s="11" t="n">
        <v>0</v>
      </c>
      <c r="E14" s="11" t="n">
        <v>4</v>
      </c>
      <c r="F14" s="11" t="n">
        <v>20</v>
      </c>
      <c r="G14" s="10" t="inlineStr">
        <is>
          <t>box</t>
        </is>
      </c>
      <c r="H14" s="12" t="inlineStr">
        <is>
          <t>MISSING</t>
        </is>
      </c>
      <c r="I14" s="10" t="inlineStr">
        <is>
          <t>26 Mar 2026</t>
        </is>
      </c>
      <c r="J14" s="10" t="inlineStr">
        <is>
          <t>URGENT — reorder immediately</t>
        </is>
      </c>
    </row>
    <row r="15" ht="18" customHeight="1">
      <c r="A15" s="4" t="inlineStr">
        <is>
          <t>C004</t>
        </is>
      </c>
      <c r="B15" s="4" t="inlineStr">
        <is>
          <t>Cleaning Cloth</t>
        </is>
      </c>
      <c r="C15" s="4" t="inlineStr">
        <is>
          <t>Cleaning</t>
        </is>
      </c>
      <c r="D15" s="5" t="n">
        <v>7</v>
      </c>
      <c r="E15" s="5" t="n">
        <v>5</v>
      </c>
      <c r="F15" s="5" t="n">
        <v>30</v>
      </c>
      <c r="G15" s="4" t="inlineStr">
        <is>
          <t>piece</t>
        </is>
      </c>
      <c r="H15" s="6" t="inlineStr">
        <is>
          <t>OK</t>
        </is>
      </c>
      <c r="I15" s="4" t="inlineStr">
        <is>
          <t>26 Mar 2026</t>
        </is>
      </c>
      <c r="J15" s="4" t="inlineStr"/>
    </row>
    <row r="16" ht="18" customHeight="1">
      <c r="A16" s="7" t="inlineStr">
        <is>
          <t>C005</t>
        </is>
      </c>
      <c r="B16" s="7" t="inlineStr">
        <is>
          <t>Floor Cleaner</t>
        </is>
      </c>
      <c r="C16" s="7" t="inlineStr">
        <is>
          <t>Cleaning</t>
        </is>
      </c>
      <c r="D16" s="8" t="n">
        <v>1</v>
      </c>
      <c r="E16" s="8" t="n">
        <v>3</v>
      </c>
      <c r="F16" s="8" t="n">
        <v>10</v>
      </c>
      <c r="G16" s="7" t="inlineStr">
        <is>
          <t>bottle</t>
        </is>
      </c>
      <c r="H16" s="9" t="inlineStr">
        <is>
          <t>LOW STOCK</t>
        </is>
      </c>
      <c r="I16" s="7" t="inlineStr">
        <is>
          <t>26 Mar 2026</t>
        </is>
      </c>
      <c r="J16" s="7" t="inlineStr"/>
    </row>
    <row r="17" ht="18" customHeight="1">
      <c r="A17" s="4" t="inlineStr">
        <is>
          <t>M001</t>
        </is>
      </c>
      <c r="B17" s="4" t="inlineStr">
        <is>
          <t>Hand Sanitiser</t>
        </is>
      </c>
      <c r="C17" s="4" t="inlineStr">
        <is>
          <t>Medical</t>
        </is>
      </c>
      <c r="D17" s="5" t="n">
        <v>39</v>
      </c>
      <c r="E17" s="5" t="n">
        <v>4</v>
      </c>
      <c r="F17" s="5" t="n">
        <v>20</v>
      </c>
      <c r="G17" s="4" t="inlineStr">
        <is>
          <t>bottle</t>
        </is>
      </c>
      <c r="H17" s="6" t="inlineStr">
        <is>
          <t>OK</t>
        </is>
      </c>
      <c r="I17" s="4" t="inlineStr">
        <is>
          <t>26 Mar 2026</t>
        </is>
      </c>
      <c r="J17" s="4" t="inlineStr"/>
    </row>
    <row r="18" ht="18" customHeight="1">
      <c r="A18" s="7" t="inlineStr">
        <is>
          <t>M002</t>
        </is>
      </c>
      <c r="B18" s="7" t="inlineStr">
        <is>
          <t>Disposable Masks</t>
        </is>
      </c>
      <c r="C18" s="7" t="inlineStr">
        <is>
          <t>Medical</t>
        </is>
      </c>
      <c r="D18" s="8" t="n">
        <v>15</v>
      </c>
      <c r="E18" s="8" t="n">
        <v>5</v>
      </c>
      <c r="F18" s="8" t="n">
        <v>50</v>
      </c>
      <c r="G18" s="7" t="inlineStr">
        <is>
          <t>box</t>
        </is>
      </c>
      <c r="H18" s="9" t="inlineStr">
        <is>
          <t>OK</t>
        </is>
      </c>
      <c r="I18" s="7" t="inlineStr">
        <is>
          <t>26 Mar 2026</t>
        </is>
      </c>
      <c r="J18" s="7" t="inlineStr"/>
    </row>
    <row r="19" ht="18" customHeight="1">
      <c r="A19" s="10" t="inlineStr">
        <is>
          <t>M003</t>
        </is>
      </c>
      <c r="B19" s="10" t="inlineStr">
        <is>
          <t>Cotton Pads</t>
        </is>
      </c>
      <c r="C19" s="10" t="inlineStr">
        <is>
          <t>Medical</t>
        </is>
      </c>
      <c r="D19" s="11" t="n">
        <v>0</v>
      </c>
      <c r="E19" s="11" t="n">
        <v>3</v>
      </c>
      <c r="F19" s="11" t="n">
        <v>20</v>
      </c>
      <c r="G19" s="10" t="inlineStr">
        <is>
          <t>pack</t>
        </is>
      </c>
      <c r="H19" s="12" t="inlineStr">
        <is>
          <t>MISSING</t>
        </is>
      </c>
      <c r="I19" s="10" t="inlineStr">
        <is>
          <t>26 Mar 2026</t>
        </is>
      </c>
      <c r="J19" s="10" t="inlineStr">
        <is>
          <t>URGENT — out of stock</t>
        </is>
      </c>
    </row>
    <row r="20" ht="18" customHeight="1">
      <c r="A20" s="4" t="inlineStr">
        <is>
          <t>O001</t>
        </is>
      </c>
      <c r="B20" s="4" t="inlineStr">
        <is>
          <t>Toner Cartridge</t>
        </is>
      </c>
      <c r="C20" s="4" t="inlineStr">
        <is>
          <t>Office</t>
        </is>
      </c>
      <c r="D20" s="5" t="n">
        <v>12</v>
      </c>
      <c r="E20" s="5" t="n">
        <v>2</v>
      </c>
      <c r="F20" s="5" t="n">
        <v>10</v>
      </c>
      <c r="G20" s="4" t="inlineStr">
        <is>
          <t>unit</t>
        </is>
      </c>
      <c r="H20" s="6" t="inlineStr">
        <is>
          <t>OK</t>
        </is>
      </c>
      <c r="I20" s="4" t="inlineStr">
        <is>
          <t>26 Mar 2026</t>
        </is>
      </c>
      <c r="J20" s="4" t="inlineStr"/>
    </row>
    <row r="21" ht="18" customHeight="1">
      <c r="A21" s="10" t="inlineStr">
        <is>
          <t>O002</t>
        </is>
      </c>
      <c r="B21" s="10" t="inlineStr">
        <is>
          <t>Receipt Paper Roll</t>
        </is>
      </c>
      <c r="C21" s="10" t="inlineStr">
        <is>
          <t>Office</t>
        </is>
      </c>
      <c r="D21" s="11" t="n">
        <v>8</v>
      </c>
      <c r="E21" s="11" t="n">
        <v>3</v>
      </c>
      <c r="F21" s="11" t="n">
        <v>15</v>
      </c>
      <c r="G21" s="10" t="inlineStr">
        <is>
          <t>roll</t>
        </is>
      </c>
      <c r="H21" s="12" t="inlineStr">
        <is>
          <t>OK</t>
        </is>
      </c>
      <c r="I21" s="10" t="inlineStr">
        <is>
          <t>26 Mar 2026</t>
        </is>
      </c>
      <c r="J21" s="10" t="inlineStr">
        <is>
          <t>URGENT — affects daily ops</t>
        </is>
      </c>
    </row>
    <row r="22" ht="18" customHeight="1">
      <c r="A22" s="4" t="inlineStr">
        <is>
          <t>O003</t>
        </is>
      </c>
      <c r="B22" s="4" t="inlineStr">
        <is>
          <t>Thermal Labels</t>
        </is>
      </c>
      <c r="C22" s="4" t="inlineStr">
        <is>
          <t>Office</t>
        </is>
      </c>
      <c r="D22" s="5" t="n">
        <v>4</v>
      </c>
      <c r="E22" s="5" t="n">
        <v>2</v>
      </c>
      <c r="F22" s="5" t="n">
        <v>10</v>
      </c>
      <c r="G22" s="4" t="inlineStr">
        <is>
          <t>roll</t>
        </is>
      </c>
      <c r="H22" s="6" t="inlineStr">
        <is>
          <t>OK</t>
        </is>
      </c>
      <c r="I22" s="4" t="inlineStr">
        <is>
          <t>26 Mar 2026</t>
        </is>
      </c>
      <c r="J22" s="4" t="inlineStr"/>
    </row>
    <row r="23" ht="18" customHeight="1">
      <c r="A23" s="7" t="inlineStr">
        <is>
          <t>O004</t>
        </is>
      </c>
      <c r="B23" s="7" t="inlineStr">
        <is>
          <t>Hand Soap Refill</t>
        </is>
      </c>
      <c r="C23" s="7" t="inlineStr">
        <is>
          <t>Office</t>
        </is>
      </c>
      <c r="D23" s="8" t="n">
        <v>2</v>
      </c>
      <c r="E23" s="8" t="n">
        <v>3</v>
      </c>
      <c r="F23" s="8" t="n">
        <v>12</v>
      </c>
      <c r="G23" s="7" t="inlineStr">
        <is>
          <t>litre</t>
        </is>
      </c>
      <c r="H23" s="9" t="inlineStr">
        <is>
          <t>LOW STOCK</t>
        </is>
      </c>
      <c r="I23" s="7" t="inlineStr">
        <is>
          <t>26 Mar 2026</t>
        </is>
      </c>
      <c r="J23" s="7" t="inlineStr">
        <is>
          <t>Can order from Lazada</t>
        </is>
      </c>
    </row>
    <row r="24" ht="20" customHeight="1">
      <c r="A24" s="13" t="inlineStr">
        <is>
          <t>TOTALS</t>
        </is>
      </c>
      <c r="D24" s="13">
        <f>SUM(D4:D23)</f>
        <v/>
      </c>
      <c r="E24" s="14" t="n"/>
      <c r="F24" s="14" t="n"/>
    </row>
  </sheetData>
  <mergeCells count="3">
    <mergeCell ref="A1:J1"/>
    <mergeCell ref="A24:C2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12" customWidth="1" min="4" max="4"/>
    <col width="10" customWidth="1" min="5" max="5"/>
    <col width="45" customWidth="1" min="6" max="6"/>
    <col width="16" customWidth="1" min="7" max="7"/>
  </cols>
  <sheetData>
    <row r="1" ht="30" customHeight="1">
      <c r="A1" s="15" t="inlineStr">
        <is>
          <t>STOCKSENSE — VOICE COMMAND TRANSACTION LOG</t>
        </is>
      </c>
    </row>
    <row r="2" ht="22" customHeight="1">
      <c r="A2" s="3" t="inlineStr">
        <is>
          <t>Timestamp</t>
        </is>
      </c>
      <c r="B2" s="3" t="inlineStr">
        <is>
          <t>Item ID</t>
        </is>
      </c>
      <c r="C2" s="3" t="inlineStr">
        <is>
          <t>Item Name</t>
        </is>
      </c>
      <c r="D2" s="3" t="inlineStr">
        <is>
          <t>Action</t>
        </is>
      </c>
      <c r="E2" s="3" t="inlineStr">
        <is>
          <t>Quantity</t>
        </is>
      </c>
      <c r="F2" s="3" t="inlineStr">
        <is>
          <t>Raw Voice Command</t>
        </is>
      </c>
      <c r="G2" s="3" t="inlineStr">
        <is>
          <t>New Stock Level</t>
        </is>
      </c>
    </row>
    <row r="3" ht="18" customHeight="1">
      <c r="A3" s="16" t="inlineStr">
        <is>
          <t>26 Mar 2026 09:12</t>
        </is>
      </c>
      <c r="B3" s="16" t="inlineStr">
        <is>
          <t>S002</t>
        </is>
      </c>
      <c r="C3" s="16" t="inlineStr">
        <is>
          <t>Developer 20vol</t>
        </is>
      </c>
      <c r="D3" s="17" t="inlineStr">
        <is>
          <t>TAKEN</t>
        </is>
      </c>
      <c r="E3" s="18" t="n">
        <v>2</v>
      </c>
      <c r="F3" s="16" t="inlineStr">
        <is>
          <t>used two bottles of developer this morning</t>
        </is>
      </c>
      <c r="G3" s="18" t="n">
        <v>4</v>
      </c>
    </row>
    <row r="4" ht="18" customHeight="1">
      <c r="A4" s="16" t="inlineStr">
        <is>
          <t>26 Mar 2026 10:45</t>
        </is>
      </c>
      <c r="B4" s="16" t="inlineStr">
        <is>
          <t>C002</t>
        </is>
      </c>
      <c r="C4" s="16" t="inlineStr">
        <is>
          <t>Latex Gloves (M)</t>
        </is>
      </c>
      <c r="D4" s="17" t="inlineStr">
        <is>
          <t>TAKEN</t>
        </is>
      </c>
      <c r="E4" s="18" t="n">
        <v>1</v>
      </c>
      <c r="F4" s="16" t="inlineStr">
        <is>
          <t>took a box of medium gloves</t>
        </is>
      </c>
      <c r="G4" s="18" t="n">
        <v>2</v>
      </c>
    </row>
    <row r="5" ht="18" customHeight="1">
      <c r="A5" s="16" t="inlineStr">
        <is>
          <t>26 Mar 2026 11:30</t>
        </is>
      </c>
      <c r="B5" s="16" t="inlineStr">
        <is>
          <t>M001</t>
        </is>
      </c>
      <c r="C5" s="16" t="inlineStr">
        <is>
          <t>Hand Sanitiser</t>
        </is>
      </c>
      <c r="D5" s="17" t="inlineStr">
        <is>
          <t>TAKEN</t>
        </is>
      </c>
      <c r="E5" s="18" t="n">
        <v>1</v>
      </c>
      <c r="F5" s="16" t="inlineStr">
        <is>
          <t>grabbed one sanitiser for front desk</t>
        </is>
      </c>
      <c r="G5" s="18" t="n">
        <v>9</v>
      </c>
    </row>
    <row r="6" ht="18" customHeight="1">
      <c r="A6" s="19" t="inlineStr">
        <is>
          <t>26 Mar 2026 13:00</t>
        </is>
      </c>
      <c r="B6" s="19" t="inlineStr">
        <is>
          <t>S006</t>
        </is>
      </c>
      <c r="C6" s="19" t="inlineStr">
        <is>
          <t>Toning Shampoo</t>
        </is>
      </c>
      <c r="D6" s="20" t="inlineStr">
        <is>
          <t>ADDED</t>
        </is>
      </c>
      <c r="E6" s="21" t="n">
        <v>3</v>
      </c>
      <c r="F6" s="19" t="inlineStr">
        <is>
          <t>delivery came, got 3 toning shampoos</t>
        </is>
      </c>
      <c r="G6" s="21" t="n">
        <v>8</v>
      </c>
    </row>
    <row r="7" ht="18" customHeight="1">
      <c r="A7" s="16" t="inlineStr">
        <is>
          <t>26 Mar 2026 14:15</t>
        </is>
      </c>
      <c r="B7" s="16" t="inlineStr">
        <is>
          <t>S008</t>
        </is>
      </c>
      <c r="C7" s="16" t="inlineStr">
        <is>
          <t>Foil Sheets</t>
        </is>
      </c>
      <c r="D7" s="17" t="inlineStr">
        <is>
          <t>TAKEN</t>
        </is>
      </c>
      <c r="E7" s="18" t="n">
        <v>1</v>
      </c>
      <c r="F7" s="16" t="inlineStr">
        <is>
          <t>used the last pack of foil sheets</t>
        </is>
      </c>
      <c r="G7" s="18" t="n">
        <v>1</v>
      </c>
    </row>
    <row r="8" ht="18" customHeight="1">
      <c r="A8" s="16" t="inlineStr">
        <is>
          <t>26 Mar 2026 15:00</t>
        </is>
      </c>
      <c r="B8" s="16" t="inlineStr">
        <is>
          <t>C003</t>
        </is>
      </c>
      <c r="C8" s="16" t="inlineStr">
        <is>
          <t>Latex Gloves (L)</t>
        </is>
      </c>
      <c r="D8" s="17" t="inlineStr">
        <is>
          <t>TAKEN</t>
        </is>
      </c>
      <c r="E8" s="18" t="n">
        <v>1</v>
      </c>
      <c r="F8" s="16" t="inlineStr">
        <is>
          <t>took last box of large gloves</t>
        </is>
      </c>
      <c r="G8" s="18" t="n">
        <v>0</v>
      </c>
    </row>
    <row r="9" ht="18" customHeight="1">
      <c r="A9" s="16" t="inlineStr">
        <is>
          <t>25 Mar 2026 09:00</t>
        </is>
      </c>
      <c r="B9" s="16" t="inlineStr">
        <is>
          <t>O001</t>
        </is>
      </c>
      <c r="C9" s="16" t="inlineStr">
        <is>
          <t>Toner Cartridge</t>
        </is>
      </c>
      <c r="D9" s="17" t="inlineStr">
        <is>
          <t>TAKEN</t>
        </is>
      </c>
      <c r="E9" s="18" t="n">
        <v>1</v>
      </c>
      <c r="F9" s="16" t="inlineStr">
        <is>
          <t>replaced printer toner</t>
        </is>
      </c>
      <c r="G9" s="18" t="n">
        <v>8</v>
      </c>
    </row>
    <row r="10" ht="18" customHeight="1">
      <c r="A10" s="19" t="inlineStr">
        <is>
          <t>25 Mar 2026 11:00</t>
        </is>
      </c>
      <c r="B10" s="19" t="inlineStr">
        <is>
          <t>S001</t>
        </is>
      </c>
      <c r="C10" s="19" t="inlineStr">
        <is>
          <t>Bleach Powder</t>
        </is>
      </c>
      <c r="D10" s="20" t="inlineStr">
        <is>
          <t>ADDED</t>
        </is>
      </c>
      <c r="E10" s="21" t="n">
        <v>4</v>
      </c>
      <c r="F10" s="19" t="inlineStr">
        <is>
          <t>restocked bleach powder from supplier</t>
        </is>
      </c>
      <c r="G10" s="21" t="n">
        <v>6</v>
      </c>
    </row>
    <row r="11" ht="18" customHeight="1">
      <c r="A11" s="16" t="inlineStr">
        <is>
          <t>25 Mar 2026 14:30</t>
        </is>
      </c>
      <c r="B11" s="16" t="inlineStr">
        <is>
          <t>M002</t>
        </is>
      </c>
      <c r="C11" s="16" t="inlineStr">
        <is>
          <t>Disposable Masks</t>
        </is>
      </c>
      <c r="D11" s="17" t="inlineStr">
        <is>
          <t>TAKEN</t>
        </is>
      </c>
      <c r="E11" s="18" t="n">
        <v>1</v>
      </c>
      <c r="F11" s="16" t="inlineStr">
        <is>
          <t>opened new box of masks</t>
        </is>
      </c>
      <c r="G11" s="18" t="n">
        <v>3</v>
      </c>
    </row>
    <row r="12" ht="18" customHeight="1">
      <c r="A12" s="16" t="inlineStr">
        <is>
          <t>24 Mar 2026 10:00</t>
        </is>
      </c>
      <c r="B12" s="16" t="inlineStr">
        <is>
          <t>S004</t>
        </is>
      </c>
      <c r="C12" s="16" t="inlineStr">
        <is>
          <t>Hair Colour #4N</t>
        </is>
      </c>
      <c r="D12" s="17" t="inlineStr">
        <is>
          <t>TAKEN</t>
        </is>
      </c>
      <c r="E12" s="18" t="n">
        <v>2</v>
      </c>
      <c r="F12" s="16" t="inlineStr">
        <is>
          <t>removed two tubes for client appointment</t>
        </is>
      </c>
      <c r="G12" s="18" t="n">
        <v>0</v>
      </c>
    </row>
    <row r="13">
      <c r="A13" t="inlineStr">
        <is>
          <t>26 Mar 2026 15:39</t>
        </is>
      </c>
      <c r="B13" t="inlineStr">
        <is>
          <t>S002</t>
        </is>
      </c>
      <c r="C13" t="inlineStr">
        <is>
          <t>Developer 20vol</t>
        </is>
      </c>
      <c r="D13" t="inlineStr">
        <is>
          <t>TAKEN</t>
        </is>
      </c>
      <c r="E13" t="n">
        <v>2</v>
      </c>
      <c r="F13" t="inlineStr">
        <is>
          <t>used two bottles of developer</t>
        </is>
      </c>
      <c r="G13" t="n">
        <v>0</v>
      </c>
    </row>
    <row r="14">
      <c r="A14" t="inlineStr">
        <is>
          <t>26 Mar 2026 15:41</t>
        </is>
      </c>
      <c r="B14" t="inlineStr">
        <is>
          <t>S002</t>
        </is>
      </c>
      <c r="C14" t="inlineStr">
        <is>
          <t>Developer 20vol</t>
        </is>
      </c>
      <c r="D14" t="inlineStr">
        <is>
          <t>TAKEN</t>
        </is>
      </c>
      <c r="E14" t="n">
        <v>2</v>
      </c>
      <c r="F14" t="inlineStr">
        <is>
          <t>used two bottles of Developer 20vol</t>
        </is>
      </c>
      <c r="G14" t="n">
        <v>0</v>
      </c>
    </row>
    <row r="15">
      <c r="A15" t="inlineStr">
        <is>
          <t>26 Mar 2026 15:41</t>
        </is>
      </c>
      <c r="B15" t="inlineStr">
        <is>
          <t>M001</t>
        </is>
      </c>
      <c r="C15" t="inlineStr">
        <is>
          <t>Hand Sanitiser</t>
        </is>
      </c>
      <c r="D15" t="inlineStr">
        <is>
          <t>ADDED</t>
        </is>
      </c>
      <c r="E15" t="n">
        <v>5</v>
      </c>
      <c r="F15" t="inlineStr">
        <is>
          <t>delivery came, added 5 Hand Sanitiser</t>
        </is>
      </c>
      <c r="G15" t="n">
        <v>14</v>
      </c>
    </row>
    <row r="16">
      <c r="A16" t="inlineStr">
        <is>
          <t>26 Mar 2026 15:48</t>
        </is>
      </c>
      <c r="B16" t="inlineStr">
        <is>
          <t>S002</t>
        </is>
      </c>
      <c r="C16" t="inlineStr">
        <is>
          <t>Developer 20vol</t>
        </is>
      </c>
      <c r="D16" t="inlineStr">
        <is>
          <t>TAKEN</t>
        </is>
      </c>
      <c r="E16" t="n">
        <v>2</v>
      </c>
      <c r="F16" t="inlineStr">
        <is>
          <t>used two bottles of Developer 20vol</t>
        </is>
      </c>
      <c r="G16" t="n">
        <v>0</v>
      </c>
    </row>
    <row r="17">
      <c r="A17" t="inlineStr">
        <is>
          <t>26 Mar 2026 15:48</t>
        </is>
      </c>
      <c r="B17" t="inlineStr">
        <is>
          <t>M001</t>
        </is>
      </c>
      <c r="C17" t="inlineStr">
        <is>
          <t>Hand Sanitiser</t>
        </is>
      </c>
      <c r="D17" t="inlineStr">
        <is>
          <t>ADDED</t>
        </is>
      </c>
      <c r="E17" t="n">
        <v>5</v>
      </c>
      <c r="F17" t="inlineStr">
        <is>
          <t>delivery came, added 5 Hand Sanitiser</t>
        </is>
      </c>
      <c r="G17" t="n">
        <v>19</v>
      </c>
    </row>
    <row r="18">
      <c r="A18" t="inlineStr">
        <is>
          <t>26 Mar 2026 17:59</t>
        </is>
      </c>
      <c r="B18" t="inlineStr">
        <is>
          <t>S002</t>
        </is>
      </c>
      <c r="C18" t="inlineStr">
        <is>
          <t>Developer 20vol</t>
        </is>
      </c>
      <c r="D18" t="inlineStr">
        <is>
          <t>TAKEN</t>
        </is>
      </c>
      <c r="E18" t="n">
        <v>2</v>
      </c>
      <c r="F18" t="inlineStr">
        <is>
          <t>used two bottles of developer 20vol</t>
        </is>
      </c>
      <c r="G18" t="n">
        <v>0</v>
      </c>
    </row>
    <row r="19">
      <c r="A19" t="inlineStr">
        <is>
          <t>26 Mar 2026 17:59</t>
        </is>
      </c>
      <c r="B19" t="inlineStr">
        <is>
          <t>S008</t>
        </is>
      </c>
      <c r="C19" t="inlineStr">
        <is>
          <t>Foil Sheets</t>
        </is>
      </c>
      <c r="D19" t="inlineStr">
        <is>
          <t>TAKEN</t>
        </is>
      </c>
      <c r="E19" t="n">
        <v>1</v>
      </c>
      <c r="F19" t="inlineStr">
        <is>
          <t>grabbed one pack of foil sheets</t>
        </is>
      </c>
      <c r="G19" t="n">
        <v>0</v>
      </c>
    </row>
    <row r="20">
      <c r="A20" t="inlineStr">
        <is>
          <t>26 Mar 2026 17:59</t>
        </is>
      </c>
      <c r="B20" t="inlineStr">
        <is>
          <t>M003</t>
        </is>
      </c>
      <c r="C20" t="inlineStr">
        <is>
          <t>Cotton Pads</t>
        </is>
      </c>
      <c r="D20" t="inlineStr">
        <is>
          <t>TAKEN</t>
        </is>
      </c>
      <c r="E20" t="n">
        <v>1</v>
      </c>
      <c r="F20" t="inlineStr">
        <is>
          <t>ran out of cotton pads</t>
        </is>
      </c>
      <c r="G20" t="n">
        <v>0</v>
      </c>
    </row>
    <row r="21">
      <c r="A21" t="inlineStr">
        <is>
          <t>26 Mar 2026 17:59</t>
        </is>
      </c>
      <c r="B21" t="inlineStr">
        <is>
          <t>M001</t>
        </is>
      </c>
      <c r="C21" t="inlineStr">
        <is>
          <t>Hand Sanitiser</t>
        </is>
      </c>
      <c r="D21" t="inlineStr">
        <is>
          <t>ADDED</t>
        </is>
      </c>
      <c r="E21" t="n">
        <v>10</v>
      </c>
      <c r="F21" t="inlineStr">
        <is>
          <t>delivery came, got 10 hand sanitiser</t>
        </is>
      </c>
      <c r="G21" t="n">
        <v>29</v>
      </c>
    </row>
    <row r="22">
      <c r="A22" t="inlineStr">
        <is>
          <t>26 Mar 2026 17:59</t>
        </is>
      </c>
      <c r="B22" t="inlineStr">
        <is>
          <t>S001</t>
        </is>
      </c>
      <c r="C22" t="inlineStr">
        <is>
          <t>Bleach Powder</t>
        </is>
      </c>
      <c r="D22" t="inlineStr">
        <is>
          <t>ADDED</t>
        </is>
      </c>
      <c r="E22" t="n">
        <v>5</v>
      </c>
      <c r="F22" t="inlineStr">
        <is>
          <t>restocked bleach powder, added 5 kg</t>
        </is>
      </c>
      <c r="G22" t="n">
        <v>11</v>
      </c>
    </row>
    <row r="23">
      <c r="A23" t="inlineStr">
        <is>
          <t>26 Mar 2026 17:59</t>
        </is>
      </c>
      <c r="B23" t="inlineStr">
        <is>
          <t>M002</t>
        </is>
      </c>
      <c r="C23" t="inlineStr">
        <is>
          <t>Disposable Masks</t>
        </is>
      </c>
      <c r="D23" t="inlineStr">
        <is>
          <t>ADDED</t>
        </is>
      </c>
      <c r="E23" t="n">
        <v>6</v>
      </c>
      <c r="F23" t="inlineStr">
        <is>
          <t>put back 6 boxes of disposable masks</t>
        </is>
      </c>
      <c r="G23" t="n">
        <v>9</v>
      </c>
    </row>
    <row r="24">
      <c r="A24" t="inlineStr">
        <is>
          <t>26 Mar 2026 17:59</t>
        </is>
      </c>
      <c r="B24" t="inlineStr">
        <is>
          <t>O002</t>
        </is>
      </c>
      <c r="C24" t="inlineStr">
        <is>
          <t>Receipt Paper Roll</t>
        </is>
      </c>
      <c r="D24" t="inlineStr">
        <is>
          <t>ADDED</t>
        </is>
      </c>
      <c r="E24" t="n">
        <v>4</v>
      </c>
      <c r="F24" t="inlineStr">
        <is>
          <t>added 4 rolls of receipt paper</t>
        </is>
      </c>
      <c r="G24" t="n">
        <v>4</v>
      </c>
    </row>
    <row r="25">
      <c r="A25" t="inlineStr">
        <is>
          <t>26 Mar 2026 17:59</t>
        </is>
      </c>
      <c r="B25" t="inlineStr">
        <is>
          <t>O001</t>
        </is>
      </c>
      <c r="C25" t="inlineStr">
        <is>
          <t>Toner Cartridge</t>
        </is>
      </c>
      <c r="D25" t="inlineStr">
        <is>
          <t>ADDED</t>
        </is>
      </c>
      <c r="E25" t="n">
        <v>2</v>
      </c>
      <c r="F25" t="inlineStr">
        <is>
          <t>got a new toner cartridge, adding 2</t>
        </is>
      </c>
      <c r="G25" t="n">
        <v>10</v>
      </c>
    </row>
    <row r="26">
      <c r="A26" t="inlineStr">
        <is>
          <t>26 Mar 2026 18:00</t>
        </is>
      </c>
      <c r="B26" t="inlineStr">
        <is>
          <t>S002</t>
        </is>
      </c>
      <c r="C26" t="inlineStr">
        <is>
          <t>Developer 20vol</t>
        </is>
      </c>
      <c r="D26" t="inlineStr">
        <is>
          <t>TAKEN</t>
        </is>
      </c>
      <c r="E26" t="n">
        <v>2</v>
      </c>
      <c r="F26" t="inlineStr">
        <is>
          <t>used two bottles of developer 20vol</t>
        </is>
      </c>
      <c r="G26" t="n">
        <v>0</v>
      </c>
    </row>
    <row r="27">
      <c r="A27" t="inlineStr">
        <is>
          <t>26 Mar 2026 18:00</t>
        </is>
      </c>
      <c r="B27" t="inlineStr">
        <is>
          <t>S008</t>
        </is>
      </c>
      <c r="C27" t="inlineStr">
        <is>
          <t>Foil Sheets</t>
        </is>
      </c>
      <c r="D27" t="inlineStr">
        <is>
          <t>TAKEN</t>
        </is>
      </c>
      <c r="E27" t="n">
        <v>1</v>
      </c>
      <c r="F27" t="inlineStr">
        <is>
          <t>grabbed one pack of foil sheets</t>
        </is>
      </c>
      <c r="G27" t="n">
        <v>0</v>
      </c>
    </row>
    <row r="28">
      <c r="A28" t="inlineStr">
        <is>
          <t>26 Mar 2026 18:00</t>
        </is>
      </c>
      <c r="B28" t="inlineStr">
        <is>
          <t>M003</t>
        </is>
      </c>
      <c r="C28" t="inlineStr">
        <is>
          <t>Cotton Pads</t>
        </is>
      </c>
      <c r="D28" t="inlineStr">
        <is>
          <t>TAKEN</t>
        </is>
      </c>
      <c r="E28" t="n">
        <v>1</v>
      </c>
      <c r="F28" t="inlineStr">
        <is>
          <t>ran out of cotton pads</t>
        </is>
      </c>
      <c r="G28" t="n">
        <v>0</v>
      </c>
    </row>
    <row r="29">
      <c r="A29" t="inlineStr">
        <is>
          <t>26 Mar 2026 18:00</t>
        </is>
      </c>
      <c r="B29" t="inlineStr">
        <is>
          <t>M001</t>
        </is>
      </c>
      <c r="C29" t="inlineStr">
        <is>
          <t>Hand Sanitiser</t>
        </is>
      </c>
      <c r="D29" t="inlineStr">
        <is>
          <t>ADDED</t>
        </is>
      </c>
      <c r="E29" t="n">
        <v>10</v>
      </c>
      <c r="F29" t="inlineStr">
        <is>
          <t>delivery came, got 10 hand sanitiser</t>
        </is>
      </c>
      <c r="G29" t="n">
        <v>39</v>
      </c>
    </row>
    <row r="30">
      <c r="A30" t="inlineStr">
        <is>
          <t>26 Mar 2026 18:00</t>
        </is>
      </c>
      <c r="B30" t="inlineStr">
        <is>
          <t>S001</t>
        </is>
      </c>
      <c r="C30" t="inlineStr">
        <is>
          <t>Bleach Powder</t>
        </is>
      </c>
      <c r="D30" t="inlineStr">
        <is>
          <t>ADDED</t>
        </is>
      </c>
      <c r="E30" t="n">
        <v>5</v>
      </c>
      <c r="F30" t="inlineStr">
        <is>
          <t>restocked bleach powder, added 5 kg</t>
        </is>
      </c>
      <c r="G30" t="n">
        <v>16</v>
      </c>
    </row>
    <row r="31">
      <c r="A31" t="inlineStr">
        <is>
          <t>26 Mar 2026 18:00</t>
        </is>
      </c>
      <c r="B31" t="inlineStr">
        <is>
          <t>M002</t>
        </is>
      </c>
      <c r="C31" t="inlineStr">
        <is>
          <t>Disposable Masks</t>
        </is>
      </c>
      <c r="D31" t="inlineStr">
        <is>
          <t>ADDED</t>
        </is>
      </c>
      <c r="E31" t="n">
        <v>6</v>
      </c>
      <c r="F31" t="inlineStr">
        <is>
          <t>put back 6 boxes of disposable masks</t>
        </is>
      </c>
      <c r="G31" t="n">
        <v>15</v>
      </c>
    </row>
    <row r="32">
      <c r="A32" t="inlineStr">
        <is>
          <t>26 Mar 2026 18:00</t>
        </is>
      </c>
      <c r="B32" t="inlineStr">
        <is>
          <t>O002</t>
        </is>
      </c>
      <c r="C32" t="inlineStr">
        <is>
          <t>Receipt Paper Roll</t>
        </is>
      </c>
      <c r="D32" t="inlineStr">
        <is>
          <t>ADDED</t>
        </is>
      </c>
      <c r="E32" t="n">
        <v>4</v>
      </c>
      <c r="F32" t="inlineStr">
        <is>
          <t>added 4 rolls of receipt paper</t>
        </is>
      </c>
      <c r="G32" t="n">
        <v>8</v>
      </c>
    </row>
    <row r="33">
      <c r="A33" t="inlineStr">
        <is>
          <t>26 Mar 2026 18:00</t>
        </is>
      </c>
      <c r="B33" t="inlineStr">
        <is>
          <t>O001</t>
        </is>
      </c>
      <c r="C33" t="inlineStr">
        <is>
          <t>Toner Cartridge</t>
        </is>
      </c>
      <c r="D33" t="inlineStr">
        <is>
          <t>ADDED</t>
        </is>
      </c>
      <c r="E33" t="n">
        <v>2</v>
      </c>
      <c r="F33" t="inlineStr">
        <is>
          <t>got a new toner cartridge, adding 2</t>
        </is>
      </c>
      <c r="G33" t="n">
        <v>12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STOCKSENSE — INVENTORY SUMMARY</t>
        </is>
      </c>
    </row>
    <row r="3" ht="30" customHeight="1">
      <c r="A3" s="22" t="inlineStr">
        <is>
          <t>Total Items Tracked</t>
        </is>
      </c>
      <c r="B3" s="23" t="inlineStr">
        <is>
          <t>Items OK</t>
        </is>
      </c>
      <c r="C3" s="24" t="inlineStr">
        <is>
          <t>Low Stock</t>
        </is>
      </c>
      <c r="D3" s="25" t="inlineStr">
        <is>
          <t>Missing</t>
        </is>
      </c>
      <c r="E3" s="26" t="inlineStr">
        <is>
          <t>Overstocked</t>
        </is>
      </c>
      <c r="F3" s="27" t="inlineStr">
        <is>
          <t>Total Voice Commands</t>
        </is>
      </c>
    </row>
    <row r="4" ht="40" customHeight="1">
      <c r="A4" s="28">
        <f>COUNTA(Inventory!B4:B23)</f>
        <v/>
      </c>
      <c r="B4" s="29">
        <f>COUNTIF(Inventory!H4:H23,"OK")</f>
        <v/>
      </c>
      <c r="C4" s="30">
        <f>COUNTIF(Inventory!H4:H23,"LOW STOCK")</f>
        <v/>
      </c>
      <c r="D4" s="31">
        <f>COUNTIF(Inventory!H4:H23,"MISSING")</f>
        <v/>
      </c>
      <c r="E4" s="32">
        <f>COUNTIF(Inventory!H4:H23,"OVERSTOCKED")</f>
        <v/>
      </c>
      <c r="F4" s="33">
        <f>COUNTA('Transaction Log'!A3:A1000)-1</f>
        <v/>
      </c>
    </row>
    <row r="6" ht="22" customHeight="1">
      <c r="A6" s="34" t="inlineStr">
        <is>
          <t>STOCK STATUS BY CATEGORY</t>
        </is>
      </c>
    </row>
    <row r="7" ht="20" customHeight="1">
      <c r="A7" s="35" t="inlineStr">
        <is>
          <t>Category</t>
        </is>
      </c>
      <c r="B7" s="35" t="inlineStr">
        <is>
          <t>Total Items</t>
        </is>
      </c>
      <c r="C7" s="35" t="inlineStr">
        <is>
          <t>OK</t>
        </is>
      </c>
      <c r="D7" s="35" t="inlineStr">
        <is>
          <t>Low Stock</t>
        </is>
      </c>
      <c r="E7" s="35" t="inlineStr">
        <is>
          <t>Missing</t>
        </is>
      </c>
      <c r="F7" s="35" t="inlineStr">
        <is>
          <t>Overstocked</t>
        </is>
      </c>
    </row>
    <row r="8" ht="18" customHeight="1">
      <c r="A8" s="36" t="inlineStr">
        <is>
          <t>Salon</t>
        </is>
      </c>
      <c r="B8" s="37">
        <f>COUNTIF(Inventory!C4:C23,"Salon")</f>
        <v/>
      </c>
      <c r="C8" s="37">
        <f>COUNTIFS(Inventory!C4:C23,"Salon",Inventory!H4:H23,"OK")</f>
        <v/>
      </c>
      <c r="D8" s="37">
        <f>COUNTIFS(Inventory!C4:C23,"Salon",Inventory!H4:H23,"LOW STOCK")</f>
        <v/>
      </c>
      <c r="E8" s="37">
        <f>COUNTIFS(Inventory!C4:C23,"Salon",Inventory!H4:H23,"MISSING")</f>
        <v/>
      </c>
      <c r="F8" s="37">
        <f>COUNTIFS(Inventory!C4:C23,"Salon",Inventory!H4:H23,"OVERSTOCKED")</f>
        <v/>
      </c>
    </row>
    <row r="9" ht="18" customHeight="1">
      <c r="A9" s="36" t="inlineStr">
        <is>
          <t>Cleaning</t>
        </is>
      </c>
      <c r="B9" s="37">
        <f>COUNTIF(Inventory!C4:C23,"Cleaning")</f>
        <v/>
      </c>
      <c r="C9" s="37">
        <f>COUNTIFS(Inventory!C4:C23,"Cleaning",Inventory!H4:H23,"OK")</f>
        <v/>
      </c>
      <c r="D9" s="37">
        <f>COUNTIFS(Inventory!C4:C23,"Cleaning",Inventory!H4:H23,"LOW STOCK")</f>
        <v/>
      </c>
      <c r="E9" s="37">
        <f>COUNTIFS(Inventory!C4:C23,"Cleaning",Inventory!H4:H23,"MISSING")</f>
        <v/>
      </c>
      <c r="F9" s="37">
        <f>COUNTIFS(Inventory!C4:C23,"Cleaning",Inventory!H4:H23,"OVERSTOCKED")</f>
        <v/>
      </c>
    </row>
    <row r="10" ht="18" customHeight="1">
      <c r="A10" s="36" t="inlineStr">
        <is>
          <t>Medical</t>
        </is>
      </c>
      <c r="B10" s="37">
        <f>COUNTIF(Inventory!C4:C23,"Medical")</f>
        <v/>
      </c>
      <c r="C10" s="37">
        <f>COUNTIFS(Inventory!C4:C23,"Medical",Inventory!H4:H23,"OK")</f>
        <v/>
      </c>
      <c r="D10" s="37">
        <f>COUNTIFS(Inventory!C4:C23,"Medical",Inventory!H4:H23,"LOW STOCK")</f>
        <v/>
      </c>
      <c r="E10" s="37">
        <f>COUNTIFS(Inventory!C4:C23,"Medical",Inventory!H4:H23,"MISSING")</f>
        <v/>
      </c>
      <c r="F10" s="37">
        <f>COUNTIFS(Inventory!C4:C23,"Medical",Inventory!H4:H23,"OVERSTOCKED")</f>
        <v/>
      </c>
    </row>
    <row r="11" ht="18" customHeight="1">
      <c r="A11" s="36" t="inlineStr">
        <is>
          <t>Office</t>
        </is>
      </c>
      <c r="B11" s="37">
        <f>COUNTIF(Inventory!C4:C23,"Office")</f>
        <v/>
      </c>
      <c r="C11" s="37">
        <f>COUNTIFS(Inventory!C4:C23,"Office",Inventory!H4:H23,"OK")</f>
        <v/>
      </c>
      <c r="D11" s="37">
        <f>COUNTIFS(Inventory!C4:C23,"Office",Inventory!H4:H23,"LOW STOCK")</f>
        <v/>
      </c>
      <c r="E11" s="37">
        <f>COUNTIFS(Inventory!C4:C23,"Office",Inventory!H4:H23,"MISSING")</f>
        <v/>
      </c>
      <c r="F11" s="37">
        <f>COUNTIFS(Inventory!C4:C23,"Office",Inventory!H4:H23,"OVERSTOCKED")</f>
        <v/>
      </c>
    </row>
    <row r="13" ht="20" customHeight="1">
      <c r="A13" s="38" t="inlineStr">
        <is>
          <t>HOW TO CONNECT YOUR PYTHON SCRIPT → See 'API Guide' sheet</t>
        </is>
      </c>
    </row>
  </sheetData>
  <mergeCells count="3">
    <mergeCell ref="A13:F13"/>
    <mergeCell ref="A6:F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5" t="inlineStr">
        <is>
          <t>HOW TO CONNECT YOUR PYTHON VOICE SCRIPT TO THIS EXCEL FILE</t>
        </is>
      </c>
    </row>
    <row r="3" ht="22" customHeight="1">
      <c r="A3" s="39" t="inlineStr">
        <is>
          <t>LIBRARY</t>
        </is>
      </c>
      <c r="B3" s="40" t="inlineStr">
        <is>
          <t>pip install openpyxl  (already used to create this file)</t>
        </is>
      </c>
    </row>
    <row r="4" ht="22" customHeight="1">
      <c r="A4" s="39" t="inlineStr">
        <is>
          <t>LOAD FILE</t>
        </is>
      </c>
      <c r="B4" s="40" t="inlineStr">
        <is>
          <t>wb = load_workbook('stocksense_inventory.xlsx')</t>
        </is>
      </c>
    </row>
    <row r="5" ht="22" customHeight="1">
      <c r="A5" s="39" t="inlineStr">
        <is>
          <t>GET SHEET</t>
        </is>
      </c>
      <c r="B5" s="40" t="inlineStr">
        <is>
          <t>ws = wb['Inventory']</t>
        </is>
      </c>
    </row>
    <row r="6" ht="22" customHeight="1">
      <c r="A6" s="39" t="inlineStr">
        <is>
          <t>FIND ITEM</t>
        </is>
      </c>
      <c r="B6" s="40" t="inlineStr">
        <is>
          <t>Loop rows 4 onwards, check column B (Item Name) or A (Item ID)</t>
        </is>
      </c>
    </row>
    <row r="7" ht="22" customHeight="1">
      <c r="A7" s="39" t="inlineStr">
        <is>
          <t>UPDATE QTY</t>
        </is>
      </c>
      <c r="B7" s="40" t="inlineStr">
        <is>
          <t>cell = ws.cell(row=found_row, column=4)  →  cell.value = new_qty</t>
        </is>
      </c>
    </row>
    <row r="8" ht="22" customHeight="1">
      <c r="A8" s="39" t="inlineStr">
        <is>
          <t>UPDATE STATUS</t>
        </is>
      </c>
      <c r="B8" s="40" t="inlineStr">
        <is>
          <t>cell = ws.cell(row=found_row, column=8)  →  cell.value = new_status</t>
        </is>
      </c>
    </row>
    <row r="9" ht="22" customHeight="1">
      <c r="A9" s="39" t="inlineStr">
        <is>
          <t>LOG TXN</t>
        </is>
      </c>
      <c r="B9" s="40" t="inlineStr">
        <is>
          <t>Append new row to 'Transaction Log' sheet with timestamp + raw command</t>
        </is>
      </c>
    </row>
    <row r="10" ht="22" customHeight="1">
      <c r="A10" s="39" t="inlineStr">
        <is>
          <t>SAVE FILE</t>
        </is>
      </c>
      <c r="B10" s="40" t="inlineStr">
        <is>
          <t>wb.save('stocksense_inventory.xlsx')</t>
        </is>
      </c>
    </row>
    <row r="11" ht="22" customHeight="1">
      <c r="A11" s="39" t="inlineStr">
        <is>
          <t>AUTO STATUS</t>
        </is>
      </c>
      <c r="B11" s="40" t="inlineStr">
        <is>
          <t>Recalculate status after every update: if qty==0: MISSING elif qty&lt;=min: LOW STOCK else: OK</t>
        </is>
      </c>
    </row>
    <row r="12" ht="22" customHeight="1">
      <c r="A12" s="39" t="inlineStr">
        <is>
          <t>ALERT</t>
        </is>
      </c>
      <c r="B12" s="40" t="inlineStr">
        <is>
          <t>After save, check status — if MISSING or LOW STOCK, send WhatsApp via Twilio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2026-03-26T07:32:30Z</dcterms:created>
  <dcterms:modified xsi:type="dcterms:W3CDTF">2026-03-26T10:00:56Z</dcterms:modified>
</cp:coreProperties>
</file>